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Cená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;[Red]-&quot;R$&quot; #,##0"/>
    <numFmt numFmtId="166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4D332D"/>
      <sz val="18"/>
    </font>
    <font>
      <i val="1"/>
      <color rgb="005B5248"/>
    </font>
    <font>
      <b val="1"/>
      <color rgb="00FFFFFF"/>
      <sz val="12"/>
    </font>
    <font>
      <b val="1"/>
      <color rgb="004D332D"/>
    </font>
    <font>
      <color rgb="005B5248"/>
      <sz val="10"/>
    </font>
    <font>
      <b val="1"/>
      <color rgb="00D48468"/>
    </font>
    <font>
      <b val="1"/>
      <color rgb="004D332D"/>
      <sz val="14"/>
    </font>
    <font>
      <b val="1"/>
      <color rgb="00FFFFFF"/>
    </font>
    <font>
      <b val="1"/>
      <color rgb="004D332D"/>
      <sz val="12"/>
    </font>
    <font>
      <b val="1"/>
      <color rgb="005B5248"/>
    </font>
    <font>
      <color rgb="005B5248"/>
    </font>
  </fonts>
  <fills count="7">
    <fill>
      <patternFill/>
    </fill>
    <fill>
      <patternFill patternType="gray125"/>
    </fill>
    <fill>
      <patternFill patternType="solid">
        <fgColor rgb="004D332D"/>
      </patternFill>
    </fill>
    <fill>
      <patternFill patternType="solid">
        <fgColor rgb="00FFF4CC"/>
      </patternFill>
    </fill>
    <fill>
      <patternFill patternType="solid">
        <fgColor rgb="00D48468"/>
      </patternFill>
    </fill>
    <fill>
      <patternFill patternType="solid">
        <fgColor rgb="007E8E72"/>
      </patternFill>
    </fill>
    <fill>
      <patternFill patternType="solid">
        <fgColor rgb="00F3EEE1"/>
      </patternFill>
    </fill>
  </fills>
  <borders count="2">
    <border>
      <left/>
      <right/>
      <top/>
      <bottom/>
      <diagonal/>
    </border>
    <border>
      <left style="thin">
        <color rgb="00E2D9CC"/>
      </left>
      <right style="thin">
        <color rgb="00E2D9CC"/>
      </right>
      <top style="thin">
        <color rgb="00E2D9CC"/>
      </top>
      <bottom style="thin">
        <color rgb="00E2D9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vertical="center" wrapText="1"/>
    </xf>
    <xf numFmtId="9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3" fillId="4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166" fontId="4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165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Seu ganho no 1º ano por modelo</a:t>
            </a:r>
          </a:p>
        </rich>
      </tx>
    </title>
    <plotArea>
      <barChart>
        <barDir val="col"/>
        <grouping val="clustered"/>
        <ser>
          <idx val="0"/>
          <order val="0"/>
          <tx>
            <v>Canal</v>
          </tx>
          <spPr>
            <a:solidFill xmlns:a="http://schemas.openxmlformats.org/drawingml/2006/main">
              <a:srgbClr val="D48468"/>
            </a:solidFill>
            <a:ln xmlns:a="http://schemas.openxmlformats.org/drawingml/2006/main">
              <a:solidFill>
                <a:srgbClr val="D48468"/>
              </a:solidFill>
              <a:prstDash val="solid"/>
            </a:ln>
          </spPr>
          <cat>
            <numRef>
              <f>'Cenários'!$A$5:$A$7</f>
            </numRef>
          </cat>
          <val>
            <numRef>
              <f>'Cenários'!$E$5:$E$7</f>
            </numRef>
          </val>
        </ser>
        <ser>
          <idx val="1"/>
          <order val="1"/>
          <tx>
            <v>White-label (com implantação)</v>
          </tx>
          <spPr>
            <a:solidFill xmlns:a="http://schemas.openxmlformats.org/drawingml/2006/main">
              <a:srgbClr val="7E8E72"/>
            </a:solidFill>
            <a:ln xmlns:a="http://schemas.openxmlformats.org/drawingml/2006/main">
              <a:solidFill>
                <a:srgbClr val="7E8E72"/>
              </a:solidFill>
              <a:prstDash val="solid"/>
            </a:ln>
          </spPr>
          <cat>
            <numRef>
              <f>'Cenários'!$A$5:$A$7</f>
            </numRef>
          </cat>
          <val>
            <numRef>
              <f>'Cenários'!$I$5:$I$7</f>
            </numRef>
          </val>
        </ser>
        <ser>
          <idx val="2"/>
          <order val="2"/>
          <tx>
            <v>Sociedade (lucro)</v>
          </tx>
          <spPr>
            <a:solidFill xmlns:a="http://schemas.openxmlformats.org/drawingml/2006/main">
              <a:srgbClr val="4D332D"/>
            </a:solidFill>
            <a:ln xmlns:a="http://schemas.openxmlformats.org/drawingml/2006/main">
              <a:solidFill>
                <a:srgbClr val="4D332D"/>
              </a:solidFill>
              <a:prstDash val="solid"/>
            </a:ln>
          </spPr>
          <cat>
            <numRef>
              <f>'Cenários'!$A$5:$A$7</f>
            </numRef>
          </cat>
          <val>
            <numRef>
              <f>'Cenários'!$K$5:$K$7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 por ano</a:t>
                </a:r>
              </a:p>
            </rich>
          </tx>
        </title>
        <numFmt formatCode="&quot;R$&quot;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70" customWidth="1" min="4" max="4"/>
  </cols>
  <sheetData>
    <row r="2">
      <c r="B2" s="1" t="inlineStr">
        <is>
          <t>Zēllu — simulador de monetização</t>
        </is>
      </c>
    </row>
    <row r="3">
      <c r="B3" s="2" t="inlineStr">
        <is>
          <t>Altere só as células amarelas. Todas as outras contas, na aba Cenários, se atualizam sozinhas.</t>
        </is>
      </c>
    </row>
    <row r="4">
      <c r="B4" s="3" t="inlineStr">
        <is>
          <t>Premissas gerais</t>
        </is>
      </c>
      <c r="C4" s="4" t="n"/>
      <c r="D4" s="4" t="n"/>
    </row>
    <row r="5" ht="22" customHeight="1">
      <c r="B5" s="5" t="inlineStr">
        <is>
          <t>Preço ao cliente (por colaborador/mês)</t>
        </is>
      </c>
      <c r="C5" s="6" t="n">
        <v>12</v>
      </c>
      <c r="D5" s="7" t="inlineStr">
        <is>
          <t>Quanto a empresa cliente paga por colaborador por mês.</t>
        </is>
      </c>
    </row>
    <row r="6" ht="22" customHeight="1">
      <c r="B6" s="5" t="inlineStr">
        <is>
          <t>Custo variável (por colaborador/mês)</t>
        </is>
      </c>
      <c r="C6" s="6" t="n">
        <v>2</v>
      </c>
      <c r="D6" s="7" t="inlineStr">
        <is>
          <t>IA, servidor e banco de dados. Sobe se o chat com IA for muito usado.</t>
        </is>
      </c>
    </row>
    <row r="7" ht="22" customHeight="1">
      <c r="B7" s="5" t="inlineStr">
        <is>
          <t>Impostos sobre o que você recebe</t>
        </is>
      </c>
      <c r="C7" s="8" t="n">
        <v>0.1</v>
      </c>
      <c r="D7" s="7" t="inlineStr">
        <is>
          <t>Estimativa de Simples Nacional para software. Confirme com um contador.</t>
        </is>
      </c>
    </row>
    <row r="8" ht="22" customHeight="1">
      <c r="B8" s="5" t="inlineStr">
        <is>
          <t>Seus custos fixos mensais</t>
        </is>
      </c>
      <c r="C8" s="9" t="n">
        <v>0</v>
      </c>
      <c r="D8" s="7" t="inlineStr">
        <is>
          <t>Contador, ferramentas, domínio, jurídico. Deixei 0 para bater com a conversa; preencha o seu valor real.</t>
        </is>
      </c>
    </row>
    <row r="9" ht="22" customHeight="1"/>
    <row r="10" ht="22" customHeight="1">
      <c r="B10" s="10" t="inlineStr">
        <is>
          <t>Modelo 1 — Epic como canal</t>
        </is>
      </c>
      <c r="C10" s="11" t="n"/>
      <c r="D10" s="11" t="n"/>
    </row>
    <row r="11" ht="22" customHeight="1">
      <c r="B11" s="5" t="inlineStr">
        <is>
          <t>Percentual que fica com a Epic</t>
        </is>
      </c>
      <c r="C11" s="8" t="n">
        <v>0.25</v>
      </c>
      <c r="D11" s="7" t="inlineStr">
        <is>
          <t>Comissão ou participação da Epic sobre cada contrato que ela traz.</t>
        </is>
      </c>
    </row>
    <row r="12" ht="22" customHeight="1"/>
    <row r="13" ht="22" customHeight="1">
      <c r="B13" s="12" t="inlineStr">
        <is>
          <t>Modelo 2 — Licença white-label</t>
        </is>
      </c>
      <c r="C13" s="13" t="n"/>
      <c r="D13" s="13" t="n"/>
    </row>
    <row r="14" ht="22" customHeight="1">
      <c r="B14" s="5" t="inlineStr">
        <is>
          <t>Licença paga pela Epic (por colaborador/mês)</t>
        </is>
      </c>
      <c r="C14" s="6" t="n">
        <v>6</v>
      </c>
      <c r="D14" s="7" t="inlineStr">
        <is>
          <t>A Epic revende pelo preço que quiser e paga isto a você.</t>
        </is>
      </c>
    </row>
    <row r="15" ht="22" customHeight="1">
      <c r="B15" s="5" t="inlineStr">
        <is>
          <t>Mínimo mensal garantido</t>
        </is>
      </c>
      <c r="C15" s="9" t="n">
        <v>5000</v>
      </c>
      <c r="D15" s="7" t="inlineStr">
        <is>
          <t>Valor mínimo que a Epic paga por mês, mesmo com poucos usuários.</t>
        </is>
      </c>
    </row>
    <row r="16" ht="22" customHeight="1">
      <c r="B16" s="5" t="inlineStr">
        <is>
          <t>Taxa de implantação do white-label</t>
        </is>
      </c>
      <c r="C16" s="9" t="n">
        <v>25000</v>
      </c>
      <c r="D16" s="7" t="inlineStr">
        <is>
          <t>Paga uma única vez pela Epic, pela personalização com a marca dela.</t>
        </is>
      </c>
    </row>
    <row r="17" ht="22" customHeight="1">
      <c r="B17" s="5" t="inlineStr">
        <is>
          <t>Taxa de implantação por cliente novo</t>
        </is>
      </c>
      <c r="C17" s="9" t="n">
        <v>0</v>
      </c>
      <c r="D17" s="7" t="inlineStr">
        <is>
          <t>Opcional: cobrada a cada novo cliente que a Epic ativar (configuração, treinamento do RH).</t>
        </is>
      </c>
    </row>
    <row r="18" ht="22" customHeight="1">
      <c r="B18" s="3" t="inlineStr">
        <is>
          <t>Modelo 3 — Sociedade no produto</t>
        </is>
      </c>
      <c r="C18" s="4" t="n"/>
      <c r="D18" s="4" t="n"/>
    </row>
    <row r="19" ht="22" customHeight="1">
      <c r="B19" s="5" t="inlineStr">
        <is>
          <t>Sua participação na empresa</t>
        </is>
      </c>
      <c r="C19" s="8" t="n">
        <v>0.5</v>
      </c>
      <c r="D19" s="7" t="inlineStr">
        <is>
          <t>Percentual da sociedade que fica com você.</t>
        </is>
      </c>
    </row>
    <row r="20" ht="22" customHeight="1">
      <c r="B20" s="5" t="inlineStr">
        <is>
          <t>Múltiplo de avaliação mínimo</t>
        </is>
      </c>
      <c r="C20" s="14" t="n">
        <v>2</v>
      </c>
      <c r="D20" s="7" t="inlineStr">
        <is>
          <t>Quantas vezes a receita anual a empresa valeria (cenário conservador).</t>
        </is>
      </c>
    </row>
    <row r="21" ht="22" customHeight="1">
      <c r="B21" s="5" t="inlineStr">
        <is>
          <t>Múltiplo de avaliação máximo</t>
        </is>
      </c>
      <c r="C21" s="14" t="n">
        <v>5</v>
      </c>
      <c r="D21" s="7" t="inlineStr">
        <is>
          <t>Quantas vezes a receita anual a empresa valeria (cenário otimista).</t>
        </is>
      </c>
    </row>
    <row r="22" ht="22" customHeight="1"/>
    <row r="23" ht="22" customHeight="1">
      <c r="B23" s="10" t="inlineStr">
        <is>
          <t>Se a Epic quiser comprar o Zēllu</t>
        </is>
      </c>
      <c r="C23" s="11" t="n"/>
      <c r="D23" s="11" t="n"/>
    </row>
    <row r="24" ht="22" customHeight="1">
      <c r="B24" s="5" t="inlineStr">
        <is>
          <t>Horas investidas no produto (mínimo)</t>
        </is>
      </c>
      <c r="C24" s="15" t="n">
        <v>800</v>
      </c>
      <c r="D24" s="7" t="inlineStr">
        <is>
          <t>Estimativa de horas para refazer o Zēllu do zero.</t>
        </is>
      </c>
    </row>
    <row r="25" ht="22" customHeight="1">
      <c r="B25" s="5" t="inlineStr">
        <is>
          <t>Horas investidas no produto (máximo)</t>
        </is>
      </c>
      <c r="C25" s="15" t="n">
        <v>1500</v>
      </c>
      <c r="D25" s="7" t="inlineStr"/>
    </row>
    <row r="26" ht="22" customHeight="1">
      <c r="B26" s="5" t="inlineStr">
        <is>
          <t>Valor da hora (mínimo)</t>
        </is>
      </c>
      <c r="C26" s="9" t="n">
        <v>100</v>
      </c>
      <c r="D26" s="7" t="inlineStr">
        <is>
          <t>Valor de mercado da hora de desenvolvimento.</t>
        </is>
      </c>
    </row>
    <row r="27" ht="22" customHeight="1">
      <c r="B27" s="5" t="inlineStr">
        <is>
          <t>Valor da hora (máximo)</t>
        </is>
      </c>
      <c r="C27" s="9" t="n">
        <v>150</v>
      </c>
      <c r="D27" s="7" t="inlineStr"/>
    </row>
    <row r="28" ht="22" customHeight="1">
      <c r="B28" s="5" t="inlineStr">
        <is>
          <t>Preço de venda — piso</t>
        </is>
      </c>
      <c r="C28" s="16">
        <f>C24*C26</f>
        <v/>
      </c>
      <c r="D28" s="7" t="inlineStr">
        <is>
          <t>Abaixo disso, a venda não paga nem o trabalho já feito.</t>
        </is>
      </c>
    </row>
    <row r="29" ht="22" customHeight="1">
      <c r="B29" s="5" t="inlineStr">
        <is>
          <t>Preço de venda — referência alta</t>
        </is>
      </c>
      <c r="C29" s="16">
        <f>C25*C27</f>
        <v/>
      </c>
      <c r="D29" s="7" t="inlineStr">
        <is>
          <t>Ainda costuma ser menos que 1 a 2 anos do modelo de canal com 5 clientes.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7" t="inlineStr">
        <is>
          <t>Quanto sobra para você em cada modelo (valores líquidos, depois de impostos e custos)</t>
        </is>
      </c>
    </row>
    <row r="2">
      <c r="A2" s="2" t="inlineStr">
        <is>
          <t>Edite as colunas amarelas (nome, clientes e colaboradores). As linhas 8 e 9 são livres para os seus próprios cenários.</t>
        </is>
      </c>
    </row>
    <row r="3" ht="22" customHeight="1">
      <c r="A3" s="18" t="inlineStr">
        <is>
          <t>Cenário</t>
        </is>
      </c>
      <c r="B3" s="4" t="n"/>
      <c r="C3" s="4" t="n"/>
      <c r="D3" s="19" t="inlineStr">
        <is>
          <t>Modelo 1 — Epic como canal</t>
        </is>
      </c>
      <c r="E3" s="11" t="n"/>
      <c r="F3" s="20" t="inlineStr">
        <is>
          <t>Modelo 2 — White-label</t>
        </is>
      </c>
      <c r="G3" s="13" t="n"/>
      <c r="H3" s="13" t="n"/>
      <c r="I3" s="13" t="n"/>
      <c r="J3" s="18" t="inlineStr">
        <is>
          <t>Modelo 3 — Sociedade</t>
        </is>
      </c>
      <c r="K3" s="4" t="n"/>
      <c r="L3" s="4" t="n"/>
      <c r="M3" s="4" t="n"/>
    </row>
    <row r="4" ht="34" customHeight="1">
      <c r="A4" s="21" t="inlineStr">
        <is>
          <t>Nome</t>
        </is>
      </c>
      <c r="B4" s="21" t="inlineStr">
        <is>
          <t>Nº de clientes</t>
        </is>
      </c>
      <c r="C4" s="21" t="inlineStr">
        <is>
          <t>Colaboradores pagantes</t>
        </is>
      </c>
      <c r="D4" s="21" t="inlineStr">
        <is>
          <t>Seu líquido por mês</t>
        </is>
      </c>
      <c r="E4" s="21" t="inlineStr">
        <is>
          <t>Seu líquido por ano</t>
        </is>
      </c>
      <c r="F4" s="21" t="inlineStr">
        <is>
          <t>Seu líquido por mês</t>
        </is>
      </c>
      <c r="G4" s="21" t="inlineStr">
        <is>
          <t>Seu líquido por ano</t>
        </is>
      </c>
      <c r="H4" s="21" t="inlineStr">
        <is>
          <t>Implantações (líquido)</t>
        </is>
      </c>
      <c r="I4" s="21" t="inlineStr">
        <is>
          <t>Total no 1º ano</t>
        </is>
      </c>
      <c r="J4" s="21" t="inlineStr">
        <is>
          <t>Receita anual da empresa</t>
        </is>
      </c>
      <c r="K4" s="21" t="inlineStr">
        <is>
          <t>Sua parte do lucro (ano)</t>
        </is>
      </c>
      <c r="L4" s="21" t="inlineStr">
        <is>
          <t>Sua parte do valor (mín.)</t>
        </is>
      </c>
      <c r="M4" s="21" t="inlineStr">
        <is>
          <t>Sua parte do valor (máx.)</t>
        </is>
      </c>
    </row>
    <row r="5" ht="22" customHeight="1">
      <c r="A5" s="22" t="inlineStr">
        <is>
          <t>Piloto (1 cliente)</t>
        </is>
      </c>
      <c r="B5" s="23" t="n">
        <v>1</v>
      </c>
      <c r="C5" s="23" t="n">
        <v>200</v>
      </c>
      <c r="D5" s="24">
        <f>IF(C5="","",C5*Premissas!$C$5*(1-Premissas!$C$11)*(1-Premissas!$C$7)-C5*Premissas!$C$6-Premissas!$C$8)</f>
        <v/>
      </c>
      <c r="E5" s="25">
        <f>IF(D5="","",D5*12)</f>
        <v/>
      </c>
      <c r="F5" s="24">
        <f>IF(C5="","",MAX(C5*Premissas!$C$14,Premissas!$C$15)*(1-Premissas!$C$7)-C5*Premissas!$C$6-Premissas!$C$8)</f>
        <v/>
      </c>
      <c r="G5" s="24">
        <f>IF(F5="","",F5*12)</f>
        <v/>
      </c>
      <c r="H5" s="24">
        <f>IF(B5="","",(Premissas!$C$16+B5*Premissas!$C$17)*(1-Premissas!$C$7))</f>
        <v/>
      </c>
      <c r="I5" s="25">
        <f>IF(OR(G5="",H5=""),"",G5+H5)</f>
        <v/>
      </c>
      <c r="J5" s="24">
        <f>IF(C5="","",C5*Premissas!$C$5*12)</f>
        <v/>
      </c>
      <c r="K5" s="25">
        <f>IF(C5="","",(J5*(1-Premissas!$C$7)-C5*Premissas!$C$6*12-Premissas!$C$8*12)*Premissas!$C$19)</f>
        <v/>
      </c>
      <c r="L5" s="24">
        <f>IF(C5="","",J5*Premissas!$C$20*Premissas!$C$19)</f>
        <v/>
      </c>
      <c r="M5" s="24">
        <f>IF(C5="","",J5*Premissas!$C$21*Premissas!$C$19)</f>
        <v/>
      </c>
    </row>
    <row r="6" ht="22" customHeight="1">
      <c r="A6" s="22" t="inlineStr">
        <is>
          <t>Cinco clientes</t>
        </is>
      </c>
      <c r="B6" s="23" t="n">
        <v>5</v>
      </c>
      <c r="C6" s="23" t="n">
        <v>1500</v>
      </c>
      <c r="D6" s="24">
        <f>IF(C6="","",C6*Premissas!$C$5*(1-Premissas!$C$11)*(1-Premissas!$C$7)-C6*Premissas!$C$6-Premissas!$C$8)</f>
        <v/>
      </c>
      <c r="E6" s="25">
        <f>IF(D6="","",D6*12)</f>
        <v/>
      </c>
      <c r="F6" s="24">
        <f>IF(C6="","",MAX(C6*Premissas!$C$14,Premissas!$C$15)*(1-Premissas!$C$7)-C6*Premissas!$C$6-Premissas!$C$8)</f>
        <v/>
      </c>
      <c r="G6" s="24">
        <f>IF(F6="","",F6*12)</f>
        <v/>
      </c>
      <c r="H6" s="24">
        <f>IF(B6="","",(Premissas!$C$16+B6*Premissas!$C$17)*(1-Premissas!$C$7))</f>
        <v/>
      </c>
      <c r="I6" s="25">
        <f>IF(OR(G6="",H6=""),"",G6+H6)</f>
        <v/>
      </c>
      <c r="J6" s="24">
        <f>IF(C6="","",C6*Premissas!$C$5*12)</f>
        <v/>
      </c>
      <c r="K6" s="25">
        <f>IF(C6="","",(J6*(1-Premissas!$C$7)-C6*Premissas!$C$6*12-Premissas!$C$8*12)*Premissas!$C$19)</f>
        <v/>
      </c>
      <c r="L6" s="24">
        <f>IF(C6="","",J6*Premissas!$C$20*Premissas!$C$19)</f>
        <v/>
      </c>
      <c r="M6" s="24">
        <f>IF(C6="","",J6*Premissas!$C$21*Premissas!$C$19)</f>
        <v/>
      </c>
    </row>
    <row r="7" ht="22" customHeight="1">
      <c r="A7" s="22" t="inlineStr">
        <is>
          <t>Vinte clientes</t>
        </is>
      </c>
      <c r="B7" s="23" t="n">
        <v>20</v>
      </c>
      <c r="C7" s="23" t="n">
        <v>6000</v>
      </c>
      <c r="D7" s="24">
        <f>IF(C7="","",C7*Premissas!$C$5*(1-Premissas!$C$11)*(1-Premissas!$C$7)-C7*Premissas!$C$6-Premissas!$C$8)</f>
        <v/>
      </c>
      <c r="E7" s="25">
        <f>IF(D7="","",D7*12)</f>
        <v/>
      </c>
      <c r="F7" s="24">
        <f>IF(C7="","",MAX(C7*Premissas!$C$14,Premissas!$C$15)*(1-Premissas!$C$7)-C7*Premissas!$C$6-Premissas!$C$8)</f>
        <v/>
      </c>
      <c r="G7" s="24">
        <f>IF(F7="","",F7*12)</f>
        <v/>
      </c>
      <c r="H7" s="24">
        <f>IF(B7="","",(Premissas!$C$16+B7*Premissas!$C$17)*(1-Premissas!$C$7))</f>
        <v/>
      </c>
      <c r="I7" s="25">
        <f>IF(OR(G7="",H7=""),"",G7+H7)</f>
        <v/>
      </c>
      <c r="J7" s="24">
        <f>IF(C7="","",C7*Premissas!$C$5*12)</f>
        <v/>
      </c>
      <c r="K7" s="25">
        <f>IF(C7="","",(J7*(1-Premissas!$C$7)-C7*Premissas!$C$6*12-Premissas!$C$8*12)*Premissas!$C$19)</f>
        <v/>
      </c>
      <c r="L7" s="24">
        <f>IF(C7="","",J7*Premissas!$C$20*Premissas!$C$19)</f>
        <v/>
      </c>
      <c r="M7" s="24">
        <f>IF(C7="","",J7*Premissas!$C$21*Premissas!$C$19)</f>
        <v/>
      </c>
    </row>
    <row r="8" ht="22" customHeight="1">
      <c r="A8" s="22" t="inlineStr">
        <is>
          <t>Cenário livre 1</t>
        </is>
      </c>
      <c r="B8" s="23" t="n"/>
      <c r="C8" s="23" t="n"/>
      <c r="D8" s="24">
        <f>IF(C8="","",C8*Premissas!$C$5*(1-Premissas!$C$11)*(1-Premissas!$C$7)-C8*Premissas!$C$6-Premissas!$C$8)</f>
        <v/>
      </c>
      <c r="E8" s="25">
        <f>IF(D8="","",D8*12)</f>
        <v/>
      </c>
      <c r="F8" s="24">
        <f>IF(C8="","",MAX(C8*Premissas!$C$14,Premissas!$C$15)*(1-Premissas!$C$7)-C8*Premissas!$C$6-Premissas!$C$8)</f>
        <v/>
      </c>
      <c r="G8" s="24">
        <f>IF(F8="","",F8*12)</f>
        <v/>
      </c>
      <c r="H8" s="24">
        <f>IF(B8="","",(Premissas!$C$16+B8*Premissas!$C$17)*(1-Premissas!$C$7))</f>
        <v/>
      </c>
      <c r="I8" s="25">
        <f>IF(OR(G8="",H8=""),"",G8+H8)</f>
        <v/>
      </c>
      <c r="J8" s="24">
        <f>IF(C8="","",C8*Premissas!$C$5*12)</f>
        <v/>
      </c>
      <c r="K8" s="25">
        <f>IF(C8="","",(J8*(1-Premissas!$C$7)-C8*Premissas!$C$6*12-Premissas!$C$8*12)*Premissas!$C$19)</f>
        <v/>
      </c>
      <c r="L8" s="24">
        <f>IF(C8="","",J8*Premissas!$C$20*Premissas!$C$19)</f>
        <v/>
      </c>
      <c r="M8" s="24">
        <f>IF(C8="","",J8*Premissas!$C$21*Premissas!$C$19)</f>
        <v/>
      </c>
    </row>
    <row r="9" ht="22" customHeight="1">
      <c r="A9" s="22" t="inlineStr">
        <is>
          <t>Cenário livre 2</t>
        </is>
      </c>
      <c r="B9" s="23" t="n"/>
      <c r="C9" s="23" t="n"/>
      <c r="D9" s="24">
        <f>IF(C9="","",C9*Premissas!$C$5*(1-Premissas!$C$11)*(1-Premissas!$C$7)-C9*Premissas!$C$6-Premissas!$C$8)</f>
        <v/>
      </c>
      <c r="E9" s="25">
        <f>IF(D9="","",D9*12)</f>
        <v/>
      </c>
      <c r="F9" s="24">
        <f>IF(C9="","",MAX(C9*Premissas!$C$14,Premissas!$C$15)*(1-Premissas!$C$7)-C9*Premissas!$C$6-Premissas!$C$8)</f>
        <v/>
      </c>
      <c r="G9" s="24">
        <f>IF(F9="","",F9*12)</f>
        <v/>
      </c>
      <c r="H9" s="24">
        <f>IF(B9="","",(Premissas!$C$16+B9*Premissas!$C$17)*(1-Premissas!$C$7))</f>
        <v/>
      </c>
      <c r="I9" s="25">
        <f>IF(OR(G9="",H9=""),"",G9+H9)</f>
        <v/>
      </c>
      <c r="J9" s="24">
        <f>IF(C9="","",C9*Premissas!$C$5*12)</f>
        <v/>
      </c>
      <c r="K9" s="25">
        <f>IF(C9="","",(J9*(1-Premissas!$C$7)-C9*Premissas!$C$6*12-Premissas!$C$8*12)*Premissas!$C$19)</f>
        <v/>
      </c>
      <c r="L9" s="24">
        <f>IF(C9="","",J9*Premissas!$C$20*Premissas!$C$19)</f>
        <v/>
      </c>
      <c r="M9" s="24">
        <f>IF(C9="","",J9*Premissas!$C$21*Premissas!$C$19)</f>
        <v/>
      </c>
    </row>
    <row r="11">
      <c r="A11" s="26" t="inlineStr">
        <is>
          <t>Se a Epic quiser comprar o Zēllu de uma vez</t>
        </is>
      </c>
    </row>
    <row r="12">
      <c r="A12" t="inlineStr">
        <is>
          <t>Piso</t>
        </is>
      </c>
      <c r="B12" s="27">
        <f>Premissas!C28</f>
        <v/>
      </c>
    </row>
    <row r="13">
      <c r="A13" t="inlineStr">
        <is>
          <t>Referência alta</t>
        </is>
      </c>
      <c r="B13" s="27">
        <f>Premissas!C29</f>
        <v/>
      </c>
    </row>
    <row r="15">
      <c r="A15" s="28" t="inlineStr">
        <is>
          <t>Como ler:</t>
        </is>
      </c>
    </row>
    <row r="16">
      <c r="A16" s="29" t="inlineStr">
        <is>
          <t>• Canal: a Epic vende e fica com o percentual dela; você recebe o resto, paga impostos e os custos de operar.</t>
        </is>
      </c>
    </row>
    <row r="17">
      <c r="A17" s="29" t="inlineStr">
        <is>
          <t>• White-label: a Epic paga a licença por colaborador (ou o mínimo mensal, o que for maior), a implantação inicial e, se combinado, uma taxa por cliente novo.</t>
        </is>
      </c>
    </row>
    <row r="18">
      <c r="A18" s="29" t="inlineStr">
        <is>
          <t>• Sociedade: o lucro e o valor da empresa são divididos pela sua participação. O valor só vira dinheiro numa venda ou rodada de investimento.</t>
        </is>
      </c>
    </row>
    <row r="19">
      <c r="A19" s="29" t="inlineStr">
        <is>
          <t>• Todos os números são estimativas. O piloto com um cliente real é o que vai confirmar preço, adesão e custo de IA.</t>
        </is>
      </c>
    </row>
  </sheetData>
  <mergeCells count="6">
    <mergeCell ref="B13:C13"/>
    <mergeCell ref="F3:I3"/>
    <mergeCell ref="J3:M3"/>
    <mergeCell ref="A3:C3"/>
    <mergeCell ref="D3:E3"/>
    <mergeCell ref="B12:C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2026-10-14T08:09:09Z</dcterms:created>
  <dcterms:modified xmlns:dcterms="http://purl.org/dc/terms/" xmlns:xsi="http://www.w3.org/2001/XMLSchema-instance" xsi:type="dcterms:W3CDTF">2026-10-14T08:09:09Z</dcterms:modified>
</cp:coreProperties>
</file>